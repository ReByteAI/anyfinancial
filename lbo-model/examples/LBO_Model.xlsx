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&quot;x&quot;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00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4" fontId="4" fillId="0" borderId="0" pivotButton="0" quotePrefix="0" xfId="0"/>
    <xf numFmtId="166" fontId="3" fillId="0" borderId="0" pivotButton="0" quotePrefix="0" xfId="0"/>
    <xf numFmtId="1" fontId="3" fillId="0" borderId="0" pivotButton="0" quotePrefix="0" xfId="0"/>
    <xf numFmtId="164" fontId="5" fillId="0" borderId="0" pivotButton="0" quotePrefix="0" xfId="0"/>
    <xf numFmtId="1" fontId="2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1" fontId="5" fillId="0" borderId="0" pivotButton="0" quotePrefix="0" xfId="0"/>
    <xf numFmtId="166" fontId="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A1" sqref="A1"/>
    </sheetView>
  </sheetViews>
  <sheetFormatPr baseColWidth="8" defaultRowHeight="15"/>
  <cols>
    <col width="32" customWidth="1" min="2" max="2"/>
    <col width="14" customWidth="1" min="3" max="3"/>
  </cols>
  <sheetData>
    <row r="2">
      <c r="B2" s="1" t="inlineStr">
        <is>
          <t>ASSUMPTIONS</t>
        </is>
      </c>
      <c r="C2" s="2" t="n"/>
      <c r="D2" s="2" t="n"/>
    </row>
    <row r="4">
      <c r="B4" s="3" t="inlineStr">
        <is>
          <t>Entry EBITDA ($M)</t>
        </is>
      </c>
      <c r="C4" s="4" t="n">
        <v>100</v>
      </c>
    </row>
    <row r="5">
      <c r="B5" s="3" t="inlineStr">
        <is>
          <t>Entry EV / EBITDA (x)</t>
        </is>
      </c>
      <c r="C5" s="5" t="n">
        <v>10</v>
      </c>
    </row>
    <row r="6">
      <c r="B6" s="3" t="inlineStr">
        <is>
          <t>Entry EV ($M)</t>
        </is>
      </c>
      <c r="C6" s="6">
        <f>C4*C5</f>
        <v/>
      </c>
    </row>
    <row r="8">
      <c r="B8" s="3" t="inlineStr">
        <is>
          <t>Leverage (Debt / EBITDA x)</t>
        </is>
      </c>
      <c r="C8" s="5" t="n">
        <v>5</v>
      </c>
    </row>
    <row r="9">
      <c r="B9" s="3" t="inlineStr">
        <is>
          <t>Entry Debt ($M)</t>
        </is>
      </c>
      <c r="C9" s="6">
        <f>C8*C4</f>
        <v/>
      </c>
    </row>
    <row r="10">
      <c r="B10" s="3" t="inlineStr">
        <is>
          <t>Interest rate (%)</t>
        </is>
      </c>
      <c r="C10" s="7" t="n">
        <v>0.08</v>
      </c>
    </row>
    <row r="12">
      <c r="B12" s="3" t="inlineStr">
        <is>
          <t>Transaction fees (% of EV)</t>
        </is>
      </c>
      <c r="C12" s="7" t="n">
        <v>0.02</v>
      </c>
    </row>
    <row r="14">
      <c r="B14" s="3" t="inlineStr">
        <is>
          <t>Revenue yr0 ($M)</t>
        </is>
      </c>
      <c r="C14" s="4" t="n">
        <v>250</v>
      </c>
    </row>
    <row r="15">
      <c r="B15" s="3" t="inlineStr">
        <is>
          <t>Revenue growth (%)</t>
        </is>
      </c>
      <c r="C15" s="7" t="n">
        <v>0.06</v>
      </c>
    </row>
    <row r="16">
      <c r="B16" s="3" t="inlineStr">
        <is>
          <t>EBITDA margin (%)</t>
        </is>
      </c>
      <c r="C16" s="7" t="n">
        <v>0.4</v>
      </c>
    </row>
    <row r="17">
      <c r="B17" s="3" t="inlineStr">
        <is>
          <t>D&amp;A (% of revenue)</t>
        </is>
      </c>
      <c r="C17" s="7" t="n">
        <v>0.05</v>
      </c>
    </row>
    <row r="18">
      <c r="B18" s="3" t="inlineStr">
        <is>
          <t>Capex (% of revenue)</t>
        </is>
      </c>
      <c r="C18" s="7" t="n">
        <v>0.05</v>
      </c>
    </row>
    <row r="19">
      <c r="B19" s="3" t="inlineStr">
        <is>
          <t>Tax rate (%)</t>
        </is>
      </c>
      <c r="C19" s="7" t="n">
        <v>0.25</v>
      </c>
    </row>
    <row r="21">
      <c r="B21" s="3" t="inlineStr">
        <is>
          <t>Hold period (yrs)</t>
        </is>
      </c>
      <c r="C21" s="8" t="n">
        <v>5</v>
      </c>
    </row>
    <row r="22">
      <c r="B22" s="3" t="inlineStr">
        <is>
          <t>Exit EV / EBITDA (x)</t>
        </is>
      </c>
      <c r="C22" s="5" t="n">
        <v>10</v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4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</cols>
  <sheetData>
    <row r="2">
      <c r="B2" s="1" t="inlineStr">
        <is>
          <t>SOURCES &amp; USES</t>
        </is>
      </c>
      <c r="C2" s="2" t="n"/>
    </row>
    <row r="4">
      <c r="B4" s="3" t="inlineStr">
        <is>
          <t>Uses</t>
        </is>
      </c>
    </row>
    <row r="5">
      <c r="B5" s="3" t="inlineStr">
        <is>
          <t>Purchase Enterprise Value</t>
        </is>
      </c>
      <c r="C5" s="9">
        <f>Assumptions!C6</f>
        <v/>
      </c>
    </row>
    <row r="6">
      <c r="B6" s="3" t="inlineStr">
        <is>
          <t>Transaction fees</t>
        </is>
      </c>
      <c r="C6" s="9">
        <f>Assumptions!C12*Assumptions!C6</f>
        <v/>
      </c>
    </row>
    <row r="7">
      <c r="B7" s="3" t="inlineStr">
        <is>
          <t>Total Uses</t>
        </is>
      </c>
      <c r="C7" s="6">
        <f>SUM(C5:C6)</f>
        <v/>
      </c>
    </row>
    <row r="9">
      <c r="B9" s="3" t="inlineStr">
        <is>
          <t>Sources</t>
        </is>
      </c>
    </row>
    <row r="10">
      <c r="B10" s="3" t="inlineStr">
        <is>
          <t>Debt</t>
        </is>
      </c>
      <c r="C10" s="9">
        <f>Assumptions!C9</f>
        <v/>
      </c>
    </row>
    <row r="11">
      <c r="B11" s="3" t="inlineStr">
        <is>
          <t>Sponsor Equity (plug)</t>
        </is>
      </c>
      <c r="C11" s="6">
        <f>C7-C10</f>
        <v/>
      </c>
    </row>
    <row r="12">
      <c r="B12" s="3" t="inlineStr">
        <is>
          <t>Total Sources</t>
        </is>
      </c>
      <c r="C12" s="6">
        <f>SUM(C10:C11)</f>
        <v/>
      </c>
    </row>
    <row r="14">
      <c r="B14" s="3" t="inlineStr">
        <is>
          <t>Check (Sources - Uses)</t>
        </is>
      </c>
      <c r="C14" s="6">
        <f>C12-C7</f>
        <v/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OPERATING MODEL</t>
        </is>
      </c>
      <c r="C2" s="2" t="n"/>
      <c r="D2" s="2" t="n"/>
      <c r="E2" s="2" t="n"/>
      <c r="F2" s="2" t="n"/>
      <c r="G2" s="2" t="n"/>
    </row>
    <row r="3">
      <c r="B3" s="3" t="inlineStr">
        <is>
          <t>Year</t>
        </is>
      </c>
      <c r="C3" s="10" t="n">
        <v>1</v>
      </c>
      <c r="D3" s="10" t="n">
        <v>2</v>
      </c>
      <c r="E3" s="10" t="n">
        <v>3</v>
      </c>
      <c r="F3" s="10" t="n">
        <v>4</v>
      </c>
      <c r="G3" s="10" t="n">
        <v>5</v>
      </c>
    </row>
    <row r="4">
      <c r="B4" s="3" t="inlineStr">
        <is>
          <t>Revenue</t>
        </is>
      </c>
      <c r="C4" s="9">
        <f>Assumptions!C14*(1+Assumptions!C15)</f>
        <v/>
      </c>
      <c r="D4" s="6">
        <f>C4*(1+Assumptions!C15)</f>
        <v/>
      </c>
      <c r="E4" s="6">
        <f>D4*(1+Assumptions!C15)</f>
        <v/>
      </c>
      <c r="F4" s="6">
        <f>E4*(1+Assumptions!C15)</f>
        <v/>
      </c>
      <c r="G4" s="6">
        <f>F4*(1+Assumptions!C15)</f>
        <v/>
      </c>
    </row>
    <row r="5">
      <c r="B5" s="3" t="inlineStr">
        <is>
          <t>EBITDA</t>
        </is>
      </c>
      <c r="C5" s="9">
        <f>C4*Assumptions!C16</f>
        <v/>
      </c>
      <c r="D5" s="9">
        <f>D4*Assumptions!C16</f>
        <v/>
      </c>
      <c r="E5" s="9">
        <f>E4*Assumptions!C16</f>
        <v/>
      </c>
      <c r="F5" s="9">
        <f>F4*Assumptions!C16</f>
        <v/>
      </c>
      <c r="G5" s="9">
        <f>G4*Assumptions!C16</f>
        <v/>
      </c>
    </row>
    <row r="6">
      <c r="B6" s="3" t="inlineStr">
        <is>
          <t>D&amp;A</t>
        </is>
      </c>
      <c r="C6" s="9">
        <f>C4*Assumptions!C17</f>
        <v/>
      </c>
      <c r="D6" s="9">
        <f>D4*Assumptions!C17</f>
        <v/>
      </c>
      <c r="E6" s="9">
        <f>E4*Assumptions!C17</f>
        <v/>
      </c>
      <c r="F6" s="9">
        <f>F4*Assumptions!C17</f>
        <v/>
      </c>
      <c r="G6" s="9">
        <f>G4*Assumptions!C17</f>
        <v/>
      </c>
    </row>
    <row r="7">
      <c r="B7" s="3" t="inlineStr">
        <is>
          <t>EBIT</t>
        </is>
      </c>
      <c r="C7" s="6">
        <f>C5-C6</f>
        <v/>
      </c>
      <c r="D7" s="6">
        <f>D5-D6</f>
        <v/>
      </c>
      <c r="E7" s="6">
        <f>E5-E6</f>
        <v/>
      </c>
      <c r="F7" s="6">
        <f>F5-F6</f>
        <v/>
      </c>
      <c r="G7" s="6">
        <f>G5-G6</f>
        <v/>
      </c>
    </row>
    <row r="8">
      <c r="B8" s="3" t="inlineStr">
        <is>
          <t>Capex</t>
        </is>
      </c>
      <c r="C8" s="9">
        <f>C4*Assumptions!C18</f>
        <v/>
      </c>
      <c r="D8" s="9">
        <f>D4*Assumptions!C18</f>
        <v/>
      </c>
      <c r="E8" s="9">
        <f>E4*Assumptions!C18</f>
        <v/>
      </c>
      <c r="F8" s="9">
        <f>F4*Assumptions!C18</f>
        <v/>
      </c>
      <c r="G8" s="9">
        <f>G4*Assumptions!C18</f>
        <v/>
      </c>
    </row>
    <row r="9">
      <c r="B9" s="3" t="inlineStr">
        <is>
          <t>Interest</t>
        </is>
      </c>
      <c r="C9" s="9">
        <f>'Debt Schedule'!C5</f>
        <v/>
      </c>
      <c r="D9" s="9">
        <f>'Debt Schedule'!D5</f>
        <v/>
      </c>
      <c r="E9" s="9">
        <f>'Debt Schedule'!E5</f>
        <v/>
      </c>
      <c r="F9" s="9">
        <f>'Debt Schedule'!F5</f>
        <v/>
      </c>
      <c r="G9" s="9">
        <f>'Debt Schedule'!G5</f>
        <v/>
      </c>
    </row>
    <row r="10">
      <c r="B10" s="3" t="inlineStr">
        <is>
          <t>EBT</t>
        </is>
      </c>
      <c r="C10" s="6">
        <f>C7-C9</f>
        <v/>
      </c>
      <c r="D10" s="6">
        <f>D7-D9</f>
        <v/>
      </c>
      <c r="E10" s="6">
        <f>E7-E9</f>
        <v/>
      </c>
      <c r="F10" s="6">
        <f>F7-F9</f>
        <v/>
      </c>
      <c r="G10" s="6">
        <f>G7-G9</f>
        <v/>
      </c>
    </row>
    <row r="11">
      <c r="B11" s="3" t="inlineStr">
        <is>
          <t>Tax</t>
        </is>
      </c>
      <c r="C11" s="9">
        <f>MAX(0,C10)*Assumptions!C19</f>
        <v/>
      </c>
      <c r="D11" s="9">
        <f>MAX(0,D10)*Assumptions!C19</f>
        <v/>
      </c>
      <c r="E11" s="9">
        <f>MAX(0,E10)*Assumptions!C19</f>
        <v/>
      </c>
      <c r="F11" s="9">
        <f>MAX(0,F10)*Assumptions!C19</f>
        <v/>
      </c>
      <c r="G11" s="9">
        <f>MAX(0,G10)*Assumptions!C19</f>
        <v/>
      </c>
    </row>
    <row r="12">
      <c r="B12" s="3" t="inlineStr">
        <is>
          <t>FCF (pre-sweep)</t>
        </is>
      </c>
      <c r="C12" s="6">
        <f>C5-C9-C11-C8</f>
        <v/>
      </c>
      <c r="D12" s="6">
        <f>D5-D9-D11-D8</f>
        <v/>
      </c>
      <c r="E12" s="6">
        <f>E5-E9-E11-E8</f>
        <v/>
      </c>
      <c r="F12" s="6">
        <f>F5-F9-F11-F8</f>
        <v/>
      </c>
      <c r="G12" s="6">
        <f>G5-G9-G11-G8</f>
        <v/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7"/>
  <sheetViews>
    <sheetView workbookViewId="0">
      <selection activeCell="A1" sqref="A1"/>
    </sheetView>
  </sheetViews>
  <sheetFormatPr baseColWidth="8" defaultRowHeight="15"/>
  <cols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DEBT SCHEDULE</t>
        </is>
      </c>
      <c r="C2" s="2" t="n"/>
      <c r="D2" s="2" t="n"/>
      <c r="E2" s="2" t="n"/>
      <c r="F2" s="2" t="n"/>
      <c r="G2" s="2" t="n"/>
    </row>
    <row r="3">
      <c r="B3" s="3" t="inlineStr">
        <is>
          <t>Year</t>
        </is>
      </c>
      <c r="C3" s="10" t="n">
        <v>1</v>
      </c>
      <c r="D3" s="10" t="n">
        <v>2</v>
      </c>
      <c r="E3" s="10" t="n">
        <v>3</v>
      </c>
      <c r="F3" s="10" t="n">
        <v>4</v>
      </c>
      <c r="G3" s="10" t="n">
        <v>5</v>
      </c>
    </row>
    <row r="4">
      <c r="B4" s="3" t="inlineStr">
        <is>
          <t>Beginning Debt</t>
        </is>
      </c>
      <c r="C4" s="9">
        <f>'Sources &amp; Uses'!C10</f>
        <v/>
      </c>
      <c r="D4" s="6">
        <f>C7</f>
        <v/>
      </c>
      <c r="E4" s="6">
        <f>D7</f>
        <v/>
      </c>
      <c r="F4" s="6">
        <f>E7</f>
        <v/>
      </c>
      <c r="G4" s="6">
        <f>F7</f>
        <v/>
      </c>
    </row>
    <row r="5">
      <c r="B5" s="3" t="inlineStr">
        <is>
          <t>Interest</t>
        </is>
      </c>
      <c r="C5" s="9">
        <f>C4*Assumptions!C10</f>
        <v/>
      </c>
      <c r="D5" s="9">
        <f>D4*Assumptions!C10</f>
        <v/>
      </c>
      <c r="E5" s="9">
        <f>E4*Assumptions!C10</f>
        <v/>
      </c>
      <c r="F5" s="9">
        <f>F4*Assumptions!C10</f>
        <v/>
      </c>
      <c r="G5" s="9">
        <f>G4*Assumptions!C10</f>
        <v/>
      </c>
    </row>
    <row r="6">
      <c r="B6" s="3" t="inlineStr">
        <is>
          <t>FCF (cash sweep)</t>
        </is>
      </c>
      <c r="C6" s="9">
        <f>'Operating Model'!C12</f>
        <v/>
      </c>
      <c r="D6" s="9">
        <f>'Operating Model'!D12</f>
        <v/>
      </c>
      <c r="E6" s="9">
        <f>'Operating Model'!E12</f>
        <v/>
      </c>
      <c r="F6" s="9">
        <f>'Operating Model'!F12</f>
        <v/>
      </c>
      <c r="G6" s="9">
        <f>'Operating Model'!G12</f>
        <v/>
      </c>
    </row>
    <row r="7">
      <c r="B7" s="3" t="inlineStr">
        <is>
          <t>Ending Debt</t>
        </is>
      </c>
      <c r="C7" s="6">
        <f>MAX(0,C4-C6)</f>
        <v/>
      </c>
      <c r="D7" s="6">
        <f>MAX(0,D4-D6)</f>
        <v/>
      </c>
      <c r="E7" s="6">
        <f>MAX(0,E4-E6)</f>
        <v/>
      </c>
      <c r="F7" s="6">
        <f>MAX(0,F4-F6)</f>
        <v/>
      </c>
      <c r="G7" s="6">
        <f>MAX(0,G4-G6)</f>
        <v/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26" customWidth="1" min="2" max="2"/>
    <col width="14" customWidth="1" min="3" max="3"/>
  </cols>
  <sheetData>
    <row r="2">
      <c r="B2" s="1" t="inlineStr">
        <is>
          <t>RETURNS</t>
        </is>
      </c>
      <c r="C2" s="2" t="n"/>
    </row>
    <row r="4">
      <c r="B4" s="3" t="inlineStr">
        <is>
          <t>Exit EBITDA (yr5)</t>
        </is>
      </c>
      <c r="C4" s="9">
        <f>'Operating Model'!G5</f>
        <v/>
      </c>
    </row>
    <row r="5">
      <c r="B5" s="3" t="inlineStr">
        <is>
          <t>Exit EV / EBITDA (x)</t>
        </is>
      </c>
      <c r="C5" s="11">
        <f>Assumptions!C22</f>
        <v/>
      </c>
    </row>
    <row r="6">
      <c r="B6" s="3" t="inlineStr">
        <is>
          <t>Exit EV</t>
        </is>
      </c>
      <c r="C6" s="6">
        <f>C4*C5</f>
        <v/>
      </c>
    </row>
    <row r="7">
      <c r="B7" s="3" t="inlineStr">
        <is>
          <t>Net Debt at Exit</t>
        </is>
      </c>
      <c r="C7" s="9">
        <f>'Debt Schedule'!G7</f>
        <v/>
      </c>
    </row>
    <row r="8">
      <c r="B8" s="3" t="inlineStr">
        <is>
          <t>Exit Equity Value</t>
        </is>
      </c>
      <c r="C8" s="6">
        <f>C6-C7</f>
        <v/>
      </c>
    </row>
    <row r="9">
      <c r="B9" s="3" t="inlineStr">
        <is>
          <t>Entry Equity</t>
        </is>
      </c>
      <c r="C9" s="9">
        <f>'Sources &amp; Uses'!C11</f>
        <v/>
      </c>
    </row>
    <row r="10">
      <c r="B10" s="3" t="inlineStr">
        <is>
          <t>MOIC</t>
        </is>
      </c>
      <c r="C10" s="12">
        <f>C8/C9</f>
        <v/>
      </c>
    </row>
    <row r="11">
      <c r="B11" s="3" t="inlineStr">
        <is>
          <t>Hold (yrs)</t>
        </is>
      </c>
      <c r="C11" s="13">
        <f>Assumptions!C21</f>
        <v/>
      </c>
    </row>
    <row r="12">
      <c r="B12" s="3" t="inlineStr">
        <is>
          <t>IRR</t>
        </is>
      </c>
      <c r="C12" s="14">
        <f>C10^(1/C11)-1</f>
        <v/>
      </c>
    </row>
  </sheetData>
  <mergeCells count="1"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</cols>
  <sheetData>
    <row r="2">
      <c r="B2" s="1" t="inlineStr">
        <is>
          <t>CHECKS</t>
        </is>
      </c>
      <c r="C2" s="2" t="n"/>
    </row>
    <row r="4">
      <c r="B4" s="3" t="inlineStr">
        <is>
          <t>Sources = Uses</t>
        </is>
      </c>
      <c r="C4" s="15">
        <f>('Sources &amp; Uses'!C14=0)</f>
        <v/>
      </c>
    </row>
    <row r="5">
      <c r="B5" s="3" t="inlineStr">
        <is>
          <t>Ending debt &gt;= 0 (yr5)</t>
        </is>
      </c>
      <c r="C5" s="15">
        <f>('Debt Schedule'!G7&gt;=0)</f>
        <v/>
      </c>
    </row>
    <row r="6">
      <c r="B6" s="3" t="inlineStr">
        <is>
          <t>MOIC &gt; 0</t>
        </is>
      </c>
      <c r="C6" s="15">
        <f>(Returns!C10&gt;0)</f>
        <v/>
      </c>
    </row>
    <row r="7">
      <c r="B7" s="3" t="inlineStr">
        <is>
          <t>IRR is finite</t>
        </is>
      </c>
      <c r="C7" s="15">
        <f>ISNUMBER(Returns!C12)</f>
        <v/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2026-07-02T01:14:00Z</dcterms:created>
  <dcterms:modified xmlns:dcterms="http://purl.org/dc/terms/" xmlns:xsi="http://www.w3.org/2001/XMLSchema-instance" xsi:type="dcterms:W3CDTF">2026-07-02T01:14:00Z</dcterms:modified>
</cp:coreProperties>
</file>